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Inventory" sheetId="1" state="visible" r:id="rId3"/>
    <sheet name="📋 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<sst xmlns="http://schemas.openxmlformats.org/spreadsheetml/2006/main" count="142" uniqueCount="110">
  <si>
    <t xml:space="preserve">SUNGEN FARMS — WEEKLY INVENTORY SHEET</t>
  </si>
  <si>
    <t xml:space="preserve">Update this sheet each week. The online shop reads this data live — changes appear on the website within minutes.</t>
  </si>
  <si>
    <t xml:space="preserve">Week Number:</t>
  </si>
  <si>
    <t xml:space="preserve">Last Updated:</t>
  </si>
  <si>
    <t xml:space="preserve">Product Name</t>
  </si>
  <si>
    <t xml:space="preserve">Category</t>
  </si>
  <si>
    <t xml:space="preserve">Emoji</t>
  </si>
  <si>
    <t xml:space="preserve">Unit
(lb/kg/each/bunch)</t>
  </si>
  <si>
    <t xml:space="preserve">Price per Unit
(BBD $)</t>
  </si>
  <si>
    <t xml:space="preserve">Qty Available
(this week)</t>
  </si>
  <si>
    <t xml:space="preserve">Status
(in/low/out)</t>
  </si>
  <si>
    <t xml:space="preserve">Notes / Variety</t>
  </si>
  <si>
    <t xml:space="preserve">Line Value
(auto)</t>
  </si>
  <si>
    <t xml:space="preserve">Last Edited By</t>
  </si>
  <si>
    <t xml:space="preserve">Sweet Potatoes</t>
  </si>
  <si>
    <t xml:space="preserve">Vegetable</t>
  </si>
  <si>
    <t xml:space="preserve">🍠</t>
  </si>
  <si>
    <t xml:space="preserve">lb</t>
  </si>
  <si>
    <t xml:space="preserve">in</t>
  </si>
  <si>
    <t xml:space="preserve">Red variety, freshly harvested</t>
  </si>
  <si>
    <t xml:space="preserve">Tomatoes</t>
  </si>
  <si>
    <t xml:space="preserve">🍅</t>
  </si>
  <si>
    <t xml:space="preserve">Cherry &amp; beefsteak mix</t>
  </si>
  <si>
    <t xml:space="preserve">Watermelon</t>
  </si>
  <si>
    <t xml:space="preserve">Fruit</t>
  </si>
  <si>
    <t xml:space="preserve">🍉</t>
  </si>
  <si>
    <t xml:space="preserve">each</t>
  </si>
  <si>
    <t xml:space="preserve">low</t>
  </si>
  <si>
    <t xml:space="preserve">Large seedless</t>
  </si>
  <si>
    <t xml:space="preserve">Hot Peppers</t>
  </si>
  <si>
    <t xml:space="preserve">🌶️</t>
  </si>
  <si>
    <t xml:space="preserve">Scotch bonnet &amp; wiri wiri</t>
  </si>
  <si>
    <t xml:space="preserve">Christophine</t>
  </si>
  <si>
    <t xml:space="preserve">🥬</t>
  </si>
  <si>
    <t xml:space="preserve">Plantains</t>
  </si>
  <si>
    <t xml:space="preserve">🍌</t>
  </si>
  <si>
    <t xml:space="preserve">bunch</t>
  </si>
  <si>
    <t xml:space="preserve">Yellow ripe &amp; green available</t>
  </si>
  <si>
    <t xml:space="preserve">Breadfruit</t>
  </si>
  <si>
    <t xml:space="preserve">🟡</t>
  </si>
  <si>
    <t xml:space="preserve">Thyme</t>
  </si>
  <si>
    <t xml:space="preserve">Herb</t>
  </si>
  <si>
    <t xml:space="preserve">🌿</t>
  </si>
  <si>
    <t xml:space="preserve">Fresh cut</t>
  </si>
  <si>
    <t xml:space="preserve">Sorrel</t>
  </si>
  <si>
    <t xml:space="preserve">🌺</t>
  </si>
  <si>
    <t xml:space="preserve">Seasonal — limited</t>
  </si>
  <si>
    <t xml:space="preserve">Cucumbers</t>
  </si>
  <si>
    <t xml:space="preserve">🥒</t>
  </si>
  <si>
    <t xml:space="preserve">Okras</t>
  </si>
  <si>
    <t xml:space="preserve">🫛</t>
  </si>
  <si>
    <t xml:space="preserve">Mangoes</t>
  </si>
  <si>
    <t xml:space="preserve">🥭</t>
  </si>
  <si>
    <t xml:space="preserve">out</t>
  </si>
  <si>
    <t xml:space="preserve">Next harvest in 3 weeks</t>
  </si>
  <si>
    <t xml:space="preserve">WEEKLY TOTALS</t>
  </si>
  <si>
    <t xml:space="preserve">HOW TO USE — SUNGEN FARMS INVENTORY SHEET</t>
  </si>
  <si>
    <t xml:space="preserve">Read this once before editing. Keeping this sheet tidy keeps the website accurate.</t>
  </si>
  <si>
    <t xml:space="preserve">COLUMNS EXPLAINED</t>
  </si>
  <si>
    <t xml:space="preserve">The name of the item as it should appear on the website (e.g. Sweet Potatoes).</t>
  </si>
  <si>
    <t xml:space="preserve">Choose from: Vegetable, Fruit, Herb, Other — use the dropdown.</t>
  </si>
  <si>
    <t xml:space="preserve">One emoji that represents the item (copy/paste from your phone or emojipedia.org).</t>
  </si>
  <si>
    <t xml:space="preserve">Unit</t>
  </si>
  <si>
    <t xml:space="preserve">How the item is sold — choose from: lb, kg, each, bunch — use the dropdown.</t>
  </si>
  <si>
    <t xml:space="preserve">Price per Unit</t>
  </si>
  <si>
    <t xml:space="preserve">The price in Barbados Dollars (BBD) per unit for this week. Change weekly as needed.</t>
  </si>
  <si>
    <t xml:space="preserve">Qty Available</t>
  </si>
  <si>
    <t xml:space="preserve">How many units are available this week (e.g. 85 lbs, 20 each). Enter 0 if out of stock.</t>
  </si>
  <si>
    <t xml:space="preserve">Status</t>
  </si>
  <si>
    <t xml:space="preserve">in = fully in stock   |   low = running low   |   out = not available. Use the dropdown.</t>
  </si>
  <si>
    <t xml:space="preserve">Optional — add helpful info for buyers (e.g. 'cherry &amp; beefsteak mix', 'seasonal').</t>
  </si>
  <si>
    <t xml:space="preserve">Line Value</t>
  </si>
  <si>
    <t xml:space="preserve">AUTO-CALCULATED — do not edit this column. It shows total value of available stock.</t>
  </si>
  <si>
    <t xml:space="preserve">Type your name here when you make changes, so the team knows who updated each row.</t>
  </si>
  <si>
    <t xml:space="preserve">WEEKLY UPDATE STEPS</t>
  </si>
  <si>
    <t xml:space="preserve">Step 1</t>
  </si>
  <si>
    <t xml:space="preserve">Go to the 'Weekly Inventory' sheet (bottom tab).</t>
  </si>
  <si>
    <t xml:space="preserve">Step 2</t>
  </si>
  <si>
    <t xml:space="preserve">Update the Price per Unit (column E) for each item based on this week's pricing.</t>
  </si>
  <si>
    <t xml:space="preserve">Step 3</t>
  </si>
  <si>
    <t xml:space="preserve">Update the Qty Available (column F) based on what was harvested this week.</t>
  </si>
  <si>
    <t xml:space="preserve">Step 4</t>
  </si>
  <si>
    <t xml:space="preserve">Update the Status (column G) — set to 'out' if qty is 0, 'low' if nearly gone.</t>
  </si>
  <si>
    <t xml:space="preserve">Step 5</t>
  </si>
  <si>
    <t xml:space="preserve">Add your name to the Last Edited By column (column J) for that row.</t>
  </si>
  <si>
    <t xml:space="preserve">Step 6</t>
  </si>
  <si>
    <t xml:space="preserve">Save the sheet. The website will reflect changes within a few minutes.</t>
  </si>
  <si>
    <t xml:space="preserve">ADDING NEW PRODUCTS</t>
  </si>
  <si>
    <t xml:space="preserve">How to add</t>
  </si>
  <si>
    <t xml:space="preserve">Scroll to the first empty row in the inventory sheet and fill in all columns A–H.</t>
  </si>
  <si>
    <t xml:space="preserve">Emoji tip</t>
  </si>
  <si>
    <t xml:space="preserve">Visit emojipedia.org to find the right emoji — just copy and paste into column C.</t>
  </si>
  <si>
    <t xml:space="preserve">Don't skip</t>
  </si>
  <si>
    <t xml:space="preserve">Always fill in Category, Unit, and Status — these use dropdowns to keep data clean.</t>
  </si>
  <si>
    <t xml:space="preserve">STATUS COLOUR GUIDE</t>
  </si>
  <si>
    <t xml:space="preserve">🟢  in</t>
  </si>
  <si>
    <t xml:space="preserve">Product is available and well-stocked. Buyers can order freely.</t>
  </si>
  <si>
    <t xml:space="preserve">🟡  low</t>
  </si>
  <si>
    <t xml:space="preserve">Stock is running low — buyers are warned. Still orderable.</t>
  </si>
  <si>
    <t xml:space="preserve">🔴  out</t>
  </si>
  <si>
    <t xml:space="preserve">Product is not available this week. Will appear as sold out on the website.</t>
  </si>
  <si>
    <t xml:space="preserve">IMPORTANT NOTES</t>
  </si>
  <si>
    <t xml:space="preserve">Do NOT delete columns</t>
  </si>
  <si>
    <t xml:space="preserve">The website reads columns A through G in exact order. Do not move or remove them.</t>
  </si>
  <si>
    <t xml:space="preserve">Do NOT edit column I</t>
  </si>
  <si>
    <t xml:space="preserve">The Line Value column is auto-calculated. Editing it will break the formula.</t>
  </si>
  <si>
    <t xml:space="preserve">Prices are BBD</t>
  </si>
  <si>
    <t xml:space="preserve">All prices are in Barbados Dollars. Do not include the $ sign — just the number.</t>
  </si>
  <si>
    <t xml:space="preserve">Row 1 is a header</t>
  </si>
  <si>
    <t xml:space="preserve">The website skips row 1 (the header row). Data must start from row 2 onward.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</si>
</sst>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2D6A31"/>
      <name val="Arial"/>
      <family val="0"/>
      <charset val="1"/>
    </font>
    <font>
      <sz val="10"/>
      <color rgb="FF2D6A31"/>
      <name val="Arial"/>
      <family val="0"/>
      <charset val="1"/>
    </font>
    <font>
      <b val="true"/>
      <sz val="10"/>
      <color rgb="FF92600A"/>
      <name val="Arial"/>
      <family val="0"/>
      <charset val="1"/>
    </font>
    <font>
      <sz val="10"/>
      <color rgb="FF92600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1F"/>
        <bgColor rgb="FF333333"/>
      </patternFill>
    </fill>
    <fill>
      <patternFill patternType="solid">
        <fgColor rgb="FF2D5A32"/>
        <bgColor rgb="FF2D6A31"/>
      </patternFill>
    </fill>
    <fill>
      <patternFill patternType="solid">
        <fgColor rgb="FF4A8C3F"/>
        <bgColor rgb="FF2D6A31"/>
      </patternFill>
    </fill>
    <fill>
      <patternFill patternType="solid">
        <fgColor rgb="FFC8922A"/>
        <bgColor rgb="FFFF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9F5EE"/>
      </patternFill>
    </fill>
    <fill>
      <patternFill patternType="solid">
        <fgColor rgb="FFF9F5EE"/>
        <bgColor rgb="FFF5F5F5"/>
      </patternFill>
    </fill>
    <fill>
      <patternFill patternType="solid">
        <fgColor rgb="FFFFF3CD"/>
        <bgColor rgb="FFFEF3E2"/>
      </patternFill>
    </fill>
    <fill>
      <patternFill patternType="solid">
        <fgColor rgb="FFEBF5EB"/>
        <bgColor rgb="FFF5F5F5"/>
      </patternFill>
    </fill>
    <fill>
      <patternFill patternType="solid">
        <fgColor rgb="FFFEF3E2"/>
        <bgColor rgb="FFF9F5EE"/>
      </patternFill>
    </fill>
    <fill>
      <patternFill patternType="solid">
        <fgColor rgb="FFFDECEA"/>
        <bgColor rgb="FFFEF3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1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1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C0392B"/>
        <sz val="10"/>
      </font>
      <fill>
        <patternFill>
          <bgColor rgb="FFFDECEA"/>
        </patternFill>
      </fill>
    </dxf>
    <dxf>
      <font>
        <name val="Arial"/>
        <charset val="1"/>
        <family val="0"/>
        <color rgb="FF92600A"/>
        <sz val="10"/>
      </font>
      <fill>
        <patternFill>
          <bgColor rgb="FFFEF3E2"/>
        </patternFill>
      </fill>
    </dxf>
    <dxf>
      <font>
        <name val="Arial"/>
        <charset val="1"/>
        <family val="0"/>
        <b val="1"/>
        <color rgb="FF2D6A31"/>
        <sz val="10"/>
      </font>
      <fill>
        <patternFill>
          <bgColor rgb="FFEBF5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31"/>
      <rgbColor rgb="FF000080"/>
      <rgbColor rgb="FF92600A"/>
      <rgbColor rgb="FF800080"/>
      <rgbColor rgb="FF008080"/>
      <rgbColor rgb="FFC0C0C0"/>
      <rgbColor rgb="FF888888"/>
      <rgbColor rgb="FF9999FF"/>
      <rgbColor rgb="FF993366"/>
      <rgbColor rgb="FFFFF3CD"/>
      <rgbColor rgb="FFEBF5E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5EE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C8922A"/>
      <rgbColor rgb="FFFF6600"/>
      <rgbColor rgb="FF666699"/>
      <rgbColor rgb="FFAAAAAA"/>
      <rgbColor rgb="FF003366"/>
      <rgbColor rgb="FF4A8C3F"/>
      <rgbColor rgb="FF2D5A32"/>
      <rgbColor rgb="FF1B3A1F"/>
      <rgbColor rgb="FFC0392B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/>
      <c r="C3" s="4" t="n">
        <f aca="true">WEEKNUM(TODAY(),2)</f>
        <v>10</v>
      </c>
      <c r="D3" s="3" t="s">
        <v>3</v>
      </c>
      <c r="E3" s="3"/>
      <c r="F3" s="5" t="str">
        <f aca="true">TEXT(TODAY(),"DD MMM YYYY")</f>
        <v>04 Mar 2026</v>
      </c>
      <c r="G3" s="5"/>
      <c r="H3" s="5"/>
    </row>
    <row r="4" customFormat="false" ht="7.5" hidden="false" customHeight="true" outlineLevel="0" collapsed="false"/>
    <row r="5" customFormat="false" ht="36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21.75" hidden="false" customHeight="true" outlineLevel="0" collapsed="false">
      <c r="A6" s="7" t="s">
        <v>14</v>
      </c>
      <c r="B6" s="7" t="s">
        <v>15</v>
      </c>
      <c r="C6" s="7" t="s">
        <v>16</v>
      </c>
      <c r="D6" s="7" t="s">
        <v>17</v>
      </c>
      <c r="E6" s="8" t="n">
        <v>2.5</v>
      </c>
      <c r="F6" s="7" t="n">
        <v>120</v>
      </c>
      <c r="G6" s="7" t="s">
        <v>18</v>
      </c>
      <c r="H6" s="7" t="s">
        <v>19</v>
      </c>
      <c r="I6" s="8" t="n">
        <f aca="false">IF(G6="out",0,E6*F6)</f>
        <v>300</v>
      </c>
      <c r="J6" s="7"/>
    </row>
    <row r="7" customFormat="false" ht="21.75" hidden="false" customHeight="true" outlineLevel="0" collapsed="false">
      <c r="A7" s="9" t="s">
        <v>20</v>
      </c>
      <c r="B7" s="9" t="s">
        <v>15</v>
      </c>
      <c r="C7" s="9" t="s">
        <v>21</v>
      </c>
      <c r="D7" s="9" t="s">
        <v>17</v>
      </c>
      <c r="E7" s="10" t="n">
        <v>3</v>
      </c>
      <c r="F7" s="9" t="n">
        <v>85</v>
      </c>
      <c r="G7" s="9" t="s">
        <v>18</v>
      </c>
      <c r="H7" s="9" t="s">
        <v>22</v>
      </c>
      <c r="I7" s="10" t="n">
        <f aca="false">IF(G7="out",0,E7*F7)</f>
        <v>255</v>
      </c>
      <c r="J7" s="9"/>
    </row>
    <row r="8" customFormat="false" ht="21.75" hidden="false" customHeight="true" outlineLevel="0" collapsed="false">
      <c r="A8" s="7" t="s">
        <v>23</v>
      </c>
      <c r="B8" s="7" t="s">
        <v>24</v>
      </c>
      <c r="C8" s="7" t="s">
        <v>25</v>
      </c>
      <c r="D8" s="7" t="s">
        <v>26</v>
      </c>
      <c r="E8" s="8" t="n">
        <v>8</v>
      </c>
      <c r="F8" s="7" t="n">
        <v>18</v>
      </c>
      <c r="G8" s="7" t="s">
        <v>27</v>
      </c>
      <c r="H8" s="7" t="s">
        <v>28</v>
      </c>
      <c r="I8" s="8" t="n">
        <f aca="false">IF(G8="out",0,E8*F8)</f>
        <v>144</v>
      </c>
      <c r="J8" s="7"/>
    </row>
    <row r="9" customFormat="false" ht="21.75" hidden="false" customHeight="true" outlineLevel="0" collapsed="false">
      <c r="A9" s="9" t="s">
        <v>29</v>
      </c>
      <c r="B9" s="9" t="s">
        <v>15</v>
      </c>
      <c r="C9" s="9" t="s">
        <v>30</v>
      </c>
      <c r="D9" s="9" t="s">
        <v>17</v>
      </c>
      <c r="E9" s="10" t="n">
        <v>4</v>
      </c>
      <c r="F9" s="9" t="n">
        <v>40</v>
      </c>
      <c r="G9" s="9" t="s">
        <v>18</v>
      </c>
      <c r="H9" s="9" t="s">
        <v>31</v>
      </c>
      <c r="I9" s="10" t="n">
        <f aca="false">IF(G9="out",0,E9*F9)</f>
        <v>160</v>
      </c>
      <c r="J9" s="9"/>
    </row>
    <row r="10" customFormat="false" ht="21.75" hidden="false" customHeight="true" outlineLevel="0" collapsed="false">
      <c r="A10" s="7" t="s">
        <v>32</v>
      </c>
      <c r="B10" s="7" t="s">
        <v>15</v>
      </c>
      <c r="C10" s="7" t="s">
        <v>33</v>
      </c>
      <c r="D10" s="7" t="s">
        <v>17</v>
      </c>
      <c r="E10" s="8" t="n">
        <v>2</v>
      </c>
      <c r="F10" s="7" t="n">
        <v>60</v>
      </c>
      <c r="G10" s="7" t="s">
        <v>18</v>
      </c>
      <c r="H10" s="7"/>
      <c r="I10" s="8" t="n">
        <f aca="false">IF(G10="out",0,E10*F10)</f>
        <v>120</v>
      </c>
      <c r="J10" s="7"/>
    </row>
    <row r="11" customFormat="false" ht="21.75" hidden="false" customHeight="true" outlineLevel="0" collapsed="false">
      <c r="A11" s="9" t="s">
        <v>34</v>
      </c>
      <c r="B11" s="9" t="s">
        <v>24</v>
      </c>
      <c r="C11" s="9" t="s">
        <v>35</v>
      </c>
      <c r="D11" s="9" t="s">
        <v>36</v>
      </c>
      <c r="E11" s="10" t="n">
        <v>5</v>
      </c>
      <c r="F11" s="9" t="n">
        <v>30</v>
      </c>
      <c r="G11" s="9" t="s">
        <v>18</v>
      </c>
      <c r="H11" s="9" t="s">
        <v>37</v>
      </c>
      <c r="I11" s="10" t="n">
        <f aca="false">IF(G11="out",0,E11*F11)</f>
        <v>150</v>
      </c>
      <c r="J11" s="9"/>
    </row>
    <row r="12" customFormat="false" ht="21.75" hidden="false" customHeight="true" outlineLevel="0" collapsed="false">
      <c r="A12" s="7" t="s">
        <v>38</v>
      </c>
      <c r="B12" s="7" t="s">
        <v>24</v>
      </c>
      <c r="C12" s="7" t="s">
        <v>39</v>
      </c>
      <c r="D12" s="7" t="s">
        <v>26</v>
      </c>
      <c r="E12" s="8" t="n">
        <v>6</v>
      </c>
      <c r="F12" s="7" t="n">
        <v>12</v>
      </c>
      <c r="G12" s="7" t="s">
        <v>27</v>
      </c>
      <c r="H12" s="7"/>
      <c r="I12" s="8" t="n">
        <f aca="false">IF(G12="out",0,E12*F12)</f>
        <v>72</v>
      </c>
      <c r="J12" s="7"/>
    </row>
    <row r="13" customFormat="false" ht="21.75" hidden="false" customHeight="true" outlineLevel="0" collapsed="false">
      <c r="A13" s="9" t="s">
        <v>40</v>
      </c>
      <c r="B13" s="9" t="s">
        <v>41</v>
      </c>
      <c r="C13" s="9" t="s">
        <v>42</v>
      </c>
      <c r="D13" s="9" t="s">
        <v>36</v>
      </c>
      <c r="E13" s="10" t="n">
        <v>3</v>
      </c>
      <c r="F13" s="9" t="n">
        <v>25</v>
      </c>
      <c r="G13" s="9" t="s">
        <v>18</v>
      </c>
      <c r="H13" s="9" t="s">
        <v>43</v>
      </c>
      <c r="I13" s="10" t="n">
        <f aca="false">IF(G13="out",0,E13*F13)</f>
        <v>75</v>
      </c>
      <c r="J13" s="9"/>
    </row>
    <row r="14" customFormat="false" ht="21.75" hidden="false" customHeight="true" outlineLevel="0" collapsed="false">
      <c r="A14" s="7" t="s">
        <v>44</v>
      </c>
      <c r="B14" s="7" t="s">
        <v>41</v>
      </c>
      <c r="C14" s="7" t="s">
        <v>45</v>
      </c>
      <c r="D14" s="7" t="s">
        <v>17</v>
      </c>
      <c r="E14" s="8" t="n">
        <v>5.5</v>
      </c>
      <c r="F14" s="7" t="n">
        <v>8</v>
      </c>
      <c r="G14" s="7" t="s">
        <v>27</v>
      </c>
      <c r="H14" s="7" t="s">
        <v>46</v>
      </c>
      <c r="I14" s="8" t="n">
        <f aca="false">IF(G14="out",0,E14*F14)</f>
        <v>44</v>
      </c>
      <c r="J14" s="7"/>
    </row>
    <row r="15" customFormat="false" ht="21.75" hidden="false" customHeight="true" outlineLevel="0" collapsed="false">
      <c r="A15" s="9" t="s">
        <v>47</v>
      </c>
      <c r="B15" s="9" t="s">
        <v>15</v>
      </c>
      <c r="C15" s="9" t="s">
        <v>48</v>
      </c>
      <c r="D15" s="9" t="s">
        <v>26</v>
      </c>
      <c r="E15" s="10" t="n">
        <v>1.5</v>
      </c>
      <c r="F15" s="9" t="n">
        <v>55</v>
      </c>
      <c r="G15" s="9" t="s">
        <v>18</v>
      </c>
      <c r="H15" s="9"/>
      <c r="I15" s="10" t="n">
        <f aca="false">IF(G15="out",0,E15*F15)</f>
        <v>82.5</v>
      </c>
      <c r="J15" s="9"/>
    </row>
    <row r="16" customFormat="false" ht="21.75" hidden="false" customHeight="true" outlineLevel="0" collapsed="false">
      <c r="A16" s="7" t="s">
        <v>49</v>
      </c>
      <c r="B16" s="7" t="s">
        <v>15</v>
      </c>
      <c r="C16" s="7" t="s">
        <v>50</v>
      </c>
      <c r="D16" s="7" t="s">
        <v>17</v>
      </c>
      <c r="E16" s="8" t="n">
        <v>2.75</v>
      </c>
      <c r="F16" s="7" t="n">
        <v>70</v>
      </c>
      <c r="G16" s="7" t="s">
        <v>18</v>
      </c>
      <c r="H16" s="7"/>
      <c r="I16" s="8" t="n">
        <f aca="false">IF(G16="out",0,E16*F16)</f>
        <v>192.5</v>
      </c>
      <c r="J16" s="7"/>
    </row>
    <row r="17" customFormat="false" ht="21.75" hidden="false" customHeight="true" outlineLevel="0" collapsed="false">
      <c r="A17" s="9" t="s">
        <v>51</v>
      </c>
      <c r="B17" s="9" t="s">
        <v>24</v>
      </c>
      <c r="C17" s="9" t="s">
        <v>52</v>
      </c>
      <c r="D17" s="9" t="s">
        <v>26</v>
      </c>
      <c r="E17" s="10" t="n">
        <v>2</v>
      </c>
      <c r="F17" s="9" t="n">
        <v>0</v>
      </c>
      <c r="G17" s="9" t="s">
        <v>53</v>
      </c>
      <c r="H17" s="9" t="s">
        <v>54</v>
      </c>
      <c r="I17" s="10" t="n">
        <f aca="false">IF(G17="out",0,E17*F17)</f>
        <v>0</v>
      </c>
      <c r="J17" s="9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11" t="str">
        <f aca="false">IF(G18="out",0,IF(AND(E18&lt;&gt;"",F18&lt;&gt;""),E18*F18,""))</f>
        <v/>
      </c>
      <c r="J18" s="7"/>
    </row>
    <row r="19" customFormat="false" ht="21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12" t="str">
        <f aca="false">IF(G19="out",0,IF(AND(E19&lt;&gt;"",F19&lt;&gt;""),E19*F19,""))</f>
        <v/>
      </c>
      <c r="J19" s="9"/>
    </row>
    <row r="20" customFormat="false" ht="21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11" t="str">
        <f aca="false">IF(G20="out",0,IF(AND(E20&lt;&gt;"",F20&lt;&gt;""),E20*F20,""))</f>
        <v/>
      </c>
      <c r="J20" s="7"/>
    </row>
    <row r="21" customFormat="false" ht="21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12" t="str">
        <f aca="false">IF(G21="out",0,IF(AND(E21&lt;&gt;"",F21&lt;&gt;""),E21*F21,""))</f>
        <v/>
      </c>
      <c r="J21" s="9"/>
    </row>
    <row r="22" customFormat="false" ht="21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11" t="str">
        <f aca="false">IF(G22="out",0,IF(AND(E22&lt;&gt;"",F22&lt;&gt;""),E22*F22,""))</f>
        <v/>
      </c>
      <c r="J22" s="7"/>
    </row>
    <row r="23" customFormat="false" ht="21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12" t="str">
        <f aca="false">IF(G23="out",0,IF(AND(E23&lt;&gt;"",F23&lt;&gt;""),E23*F23,""))</f>
        <v/>
      </c>
      <c r="J23" s="9"/>
    </row>
    <row r="24" customFormat="false" ht="21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11" t="str">
        <f aca="false">IF(G24="out",0,IF(AND(E24&lt;&gt;"",F24&lt;&gt;""),E24*F24,""))</f>
        <v/>
      </c>
      <c r="J24" s="7"/>
    </row>
    <row r="25" customFormat="false" ht="21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12" t="str">
        <f aca="false">IF(G25="out",0,IF(AND(E25&lt;&gt;"",F25&lt;&gt;""),E25*F25,""))</f>
        <v/>
      </c>
      <c r="J25" s="9"/>
    </row>
    <row r="26" customFormat="false" ht="21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11" t="str">
        <f aca="false">IF(G26="out",0,IF(AND(E26&lt;&gt;"",F26&lt;&gt;""),E26*F26,""))</f>
        <v/>
      </c>
      <c r="J26" s="7"/>
    </row>
    <row r="27" customFormat="false" ht="21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12" t="str">
        <f aca="false">IF(G27="out",0,IF(AND(E27&lt;&gt;"",F27&lt;&gt;""),E27*F27,""))</f>
        <v/>
      </c>
      <c r="J27" s="9"/>
    </row>
    <row r="28" customFormat="false" ht="21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11" t="str">
        <f aca="false">IF(G28="out",0,IF(AND(E28&lt;&gt;"",F28&lt;&gt;""),E28*F28,""))</f>
        <v/>
      </c>
      <c r="J28" s="7"/>
    </row>
    <row r="29" customFormat="false" ht="21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12" t="str">
        <f aca="false">IF(G29="out",0,IF(AND(E29&lt;&gt;"",F29&lt;&gt;""),E29*F29,""))</f>
        <v/>
      </c>
      <c r="J29" s="9"/>
    </row>
    <row r="30" customFormat="false" ht="21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11" t="str">
        <f aca="false">IF(G30="out",0,IF(AND(E30&lt;&gt;"",F30&lt;&gt;""),E30*F30,""))</f>
        <v/>
      </c>
      <c r="J30" s="7"/>
    </row>
    <row r="31" customFormat="false" ht="21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12" t="str">
        <f aca="false">IF(G31="out",0,IF(AND(E31&lt;&gt;"",F31&lt;&gt;""),E31*F31,""))</f>
        <v/>
      </c>
      <c r="J31" s="9"/>
    </row>
    <row r="32" customFormat="false" ht="21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11" t="str">
        <f aca="false">IF(G32="out",0,IF(AND(E32&lt;&gt;"",F32&lt;&gt;""),E32*F32,""))</f>
        <v/>
      </c>
      <c r="J32" s="7"/>
    </row>
    <row r="33" customFormat="false" ht="21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12" t="str">
        <f aca="false">IF(G33="out",0,IF(AND(E33&lt;&gt;"",F33&lt;&gt;""),E33*F33,""))</f>
        <v/>
      </c>
      <c r="J33" s="9"/>
    </row>
    <row r="34" customFormat="false" ht="21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11" t="str">
        <f aca="false">IF(G34="out",0,IF(AND(E34&lt;&gt;"",F34&lt;&gt;""),E34*F34,""))</f>
        <v/>
      </c>
      <c r="J34" s="7"/>
    </row>
    <row r="35" customFormat="false" ht="21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12" t="str">
        <f aca="false">IF(G35="out",0,IF(AND(E35&lt;&gt;"",F35&lt;&gt;""),E35*F35,""))</f>
        <v/>
      </c>
      <c r="J35" s="9"/>
    </row>
    <row r="36" customFormat="false" ht="21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11" t="str">
        <f aca="false">IF(G36="out",0,IF(AND(E36&lt;&gt;"",F36&lt;&gt;""),E36*F36,""))</f>
        <v/>
      </c>
      <c r="J36" s="7"/>
    </row>
    <row r="37" customFormat="false" ht="21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12" t="str">
        <f aca="false">IF(G37="out",0,IF(AND(E37&lt;&gt;"",F37&lt;&gt;""),E37*F37,""))</f>
        <v/>
      </c>
      <c r="J37" s="9"/>
    </row>
    <row r="38" customFormat="false" ht="21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11" t="str">
        <f aca="false">IF(G38="out",0,IF(AND(E38&lt;&gt;"",F38&lt;&gt;""),E38*F38,""))</f>
        <v/>
      </c>
      <c r="J38" s="7"/>
    </row>
    <row r="39" customFormat="false" ht="21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12" t="str">
        <f aca="false">IF(G39="out",0,IF(AND(E39&lt;&gt;"",F39&lt;&gt;""),E39*F39,""))</f>
        <v/>
      </c>
      <c r="J39" s="9"/>
    </row>
    <row r="40" customFormat="false" ht="21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11" t="str">
        <f aca="false">IF(G40="out",0,IF(AND(E40&lt;&gt;"",F40&lt;&gt;""),E40*F40,""))</f>
        <v/>
      </c>
      <c r="J40" s="7"/>
    </row>
    <row r="42" customFormat="false" ht="25.5" hidden="false" customHeight="true" outlineLevel="0" collapsed="false">
      <c r="A42" s="13" t="s">
        <v>55</v>
      </c>
      <c r="B42" s="13"/>
      <c r="C42" s="13"/>
      <c r="D42" s="13"/>
      <c r="E42" s="13"/>
      <c r="F42" s="13"/>
      <c r="G42" s="13"/>
      <c r="H42" s="13"/>
      <c r="I42" s="14" t="n">
        <f aca="false">SUM(I6:I40)</f>
        <v>1595</v>
      </c>
      <c r="J42" s="15"/>
    </row>
  </sheetData>
  <mergeCells count="6">
    <mergeCell ref="A1:J1"/>
    <mergeCell ref="A2:J2"/>
    <mergeCell ref="A3:B3"/>
    <mergeCell ref="D3:E3"/>
    <mergeCell ref="F3:H3"/>
    <mergeCell ref="A42:H42"/>
  </mergeCells>
  <conditionalFormatting sqref="G6:G40">
    <cfRule type="cellIs" priority="2" operator="equal" aboveAverage="0" equalAverage="0" bottom="0" percent="0" rank="0" text="" dxfId="0">
      <formula>"out"</formula>
    </cfRule>
    <cfRule type="cellIs" priority="3" operator="equal" aboveAverage="0" equalAverage="0" bottom="0" percent="0" rank="0" text="" dxfId="1">
      <formula>"low"</formula>
    </cfRule>
    <cfRule type="cellIs" priority="4" operator="equal" aboveAverage="0" equalAverage="0" bottom="0" percent="0" rank="0" text="" dxfId="2">
      <formula>"in"</formula>
    </cfRule>
  </conditionalFormatting>
  <dataValidations count="3">
    <dataValidation allowBlank="false" errorStyle="stop" operator="between" showDropDown="false" showErrorMessage="false" showInputMessage="false" sqref="B6:B40" type="list">
      <formula1>"Vegetable,Fruit,Herb,Other"</formula1>
      <formula2>0</formula2>
    </dataValidation>
    <dataValidation allowBlank="false" errorStyle="stop" operator="between" showDropDown="false" showErrorMessage="false" showInputMessage="false" sqref="D6:D40" type="list">
      <formula1>"lb,kg,each,bunch"</formula1>
      <formula2>0</formula2>
    </dataValidation>
    <dataValidation allowBlank="false" errorStyle="stop" operator="between" showDropDown="false" showErrorMessage="false" showInputMessage="false" sqref="G6:G40" type="list">
      <formula1>"in,low,out"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4"/>
  </cols>
  <sheetData>
    <row r="1" customFormat="false" ht="36" hidden="false" customHeight="true" outlineLevel="0" collapsed="false">
      <c r="B1" s="16" t="s">
        <v>56</v>
      </c>
      <c r="C1" s="16"/>
    </row>
    <row r="2" customFormat="false" ht="19.5" hidden="false" customHeight="true" outlineLevel="0" collapsed="false">
      <c r="B2" s="17" t="s">
        <v>57</v>
      </c>
      <c r="C2" s="17"/>
    </row>
    <row r="4" customFormat="false" ht="25.5" hidden="false" customHeight="true" outlineLevel="0" collapsed="false">
      <c r="B4" s="18" t="s">
        <v>58</v>
      </c>
      <c r="C4" s="18"/>
    </row>
    <row r="5" customFormat="false" ht="21.75" hidden="false" customHeight="true" outlineLevel="0" collapsed="false">
      <c r="B5" s="19" t="s">
        <v>4</v>
      </c>
      <c r="C5" s="20" t="s">
        <v>59</v>
      </c>
    </row>
    <row r="6" customFormat="false" ht="21.75" hidden="false" customHeight="true" outlineLevel="0" collapsed="false">
      <c r="B6" s="19" t="s">
        <v>5</v>
      </c>
      <c r="C6" s="20" t="s">
        <v>60</v>
      </c>
    </row>
    <row r="7" customFormat="false" ht="21.75" hidden="false" customHeight="true" outlineLevel="0" collapsed="false">
      <c r="B7" s="19" t="s">
        <v>6</v>
      </c>
      <c r="C7" s="20" t="s">
        <v>61</v>
      </c>
    </row>
    <row r="8" customFormat="false" ht="21.75" hidden="false" customHeight="true" outlineLevel="0" collapsed="false">
      <c r="B8" s="19" t="s">
        <v>62</v>
      </c>
      <c r="C8" s="20" t="s">
        <v>63</v>
      </c>
    </row>
    <row r="9" customFormat="false" ht="21.75" hidden="false" customHeight="true" outlineLevel="0" collapsed="false">
      <c r="B9" s="19" t="s">
        <v>64</v>
      </c>
      <c r="C9" s="20" t="s">
        <v>65</v>
      </c>
    </row>
    <row r="10" customFormat="false" ht="21.75" hidden="false" customHeight="true" outlineLevel="0" collapsed="false">
      <c r="B10" s="19" t="s">
        <v>66</v>
      </c>
      <c r="C10" s="20" t="s">
        <v>67</v>
      </c>
    </row>
    <row r="11" customFormat="false" ht="21.75" hidden="false" customHeight="true" outlineLevel="0" collapsed="false">
      <c r="B11" s="19" t="s">
        <v>68</v>
      </c>
      <c r="C11" s="20" t="s">
        <v>69</v>
      </c>
    </row>
    <row r="12" customFormat="false" ht="21.75" hidden="false" customHeight="true" outlineLevel="0" collapsed="false">
      <c r="B12" s="19" t="s">
        <v>11</v>
      </c>
      <c r="C12" s="20" t="s">
        <v>70</v>
      </c>
    </row>
    <row r="13" customFormat="false" ht="21.75" hidden="false" customHeight="true" outlineLevel="0" collapsed="false">
      <c r="B13" s="21" t="s">
        <v>71</v>
      </c>
      <c r="C13" s="22" t="s">
        <v>72</v>
      </c>
    </row>
    <row r="14" customFormat="false" ht="21.75" hidden="false" customHeight="true" outlineLevel="0" collapsed="false">
      <c r="B14" s="19" t="s">
        <v>13</v>
      </c>
      <c r="C14" s="20" t="s">
        <v>73</v>
      </c>
    </row>
    <row r="15" customFormat="false" ht="21.75" hidden="false" customHeight="true" outlineLevel="0" collapsed="false"/>
    <row r="16" customFormat="false" ht="25.5" hidden="false" customHeight="true" outlineLevel="0" collapsed="false">
      <c r="B16" s="18" t="s">
        <v>74</v>
      </c>
      <c r="C16" s="18"/>
    </row>
    <row r="17" customFormat="false" ht="21.75" hidden="false" customHeight="true" outlineLevel="0" collapsed="false">
      <c r="B17" s="19" t="s">
        <v>75</v>
      </c>
      <c r="C17" s="20" t="s">
        <v>76</v>
      </c>
    </row>
    <row r="18" customFormat="false" ht="21.75" hidden="false" customHeight="true" outlineLevel="0" collapsed="false">
      <c r="B18" s="19" t="s">
        <v>77</v>
      </c>
      <c r="C18" s="20" t="s">
        <v>78</v>
      </c>
    </row>
    <row r="19" customFormat="false" ht="21.75" hidden="false" customHeight="true" outlineLevel="0" collapsed="false">
      <c r="B19" s="19" t="s">
        <v>79</v>
      </c>
      <c r="C19" s="20" t="s">
        <v>80</v>
      </c>
    </row>
    <row r="20" customFormat="false" ht="21.75" hidden="false" customHeight="true" outlineLevel="0" collapsed="false">
      <c r="B20" s="19" t="s">
        <v>81</v>
      </c>
      <c r="C20" s="20" t="s">
        <v>82</v>
      </c>
    </row>
    <row r="21" customFormat="false" ht="21.75" hidden="false" customHeight="true" outlineLevel="0" collapsed="false">
      <c r="B21" s="19" t="s">
        <v>83</v>
      </c>
      <c r="C21" s="20" t="s">
        <v>84</v>
      </c>
    </row>
    <row r="22" customFormat="false" ht="21.75" hidden="false" customHeight="true" outlineLevel="0" collapsed="false">
      <c r="B22" s="19" t="s">
        <v>85</v>
      </c>
      <c r="C22" s="20" t="s">
        <v>86</v>
      </c>
    </row>
    <row r="23" customFormat="false" ht="21.75" hidden="false" customHeight="true" outlineLevel="0" collapsed="false"/>
    <row r="24" customFormat="false" ht="25.5" hidden="false" customHeight="true" outlineLevel="0" collapsed="false">
      <c r="B24" s="18" t="s">
        <v>87</v>
      </c>
      <c r="C24" s="18"/>
    </row>
    <row r="25" customFormat="false" ht="21.75" hidden="false" customHeight="true" outlineLevel="0" collapsed="false">
      <c r="B25" s="19" t="s">
        <v>88</v>
      </c>
      <c r="C25" s="20" t="s">
        <v>89</v>
      </c>
    </row>
    <row r="26" customFormat="false" ht="21.75" hidden="false" customHeight="true" outlineLevel="0" collapsed="false">
      <c r="B26" s="19" t="s">
        <v>90</v>
      </c>
      <c r="C26" s="20" t="s">
        <v>91</v>
      </c>
    </row>
    <row r="27" customFormat="false" ht="21.75" hidden="false" customHeight="true" outlineLevel="0" collapsed="false">
      <c r="B27" s="19" t="s">
        <v>92</v>
      </c>
      <c r="C27" s="20" t="s">
        <v>93</v>
      </c>
    </row>
    <row r="28" customFormat="false" ht="21.75" hidden="false" customHeight="true" outlineLevel="0" collapsed="false"/>
    <row r="29" customFormat="false" ht="25.5" hidden="false" customHeight="true" outlineLevel="0" collapsed="false">
      <c r="B29" s="18" t="s">
        <v>94</v>
      </c>
      <c r="C29" s="18"/>
    </row>
    <row r="30" customFormat="false" ht="21.75" hidden="false" customHeight="true" outlineLevel="0" collapsed="false">
      <c r="B30" s="23" t="s">
        <v>95</v>
      </c>
      <c r="C30" s="24" t="s">
        <v>96</v>
      </c>
    </row>
    <row r="31" customFormat="false" ht="21.75" hidden="false" customHeight="true" outlineLevel="0" collapsed="false">
      <c r="B31" s="25" t="s">
        <v>97</v>
      </c>
      <c r="C31" s="26" t="s">
        <v>98</v>
      </c>
    </row>
    <row r="32" customFormat="false" ht="21.75" hidden="false" customHeight="true" outlineLevel="0" collapsed="false">
      <c r="B32" s="27" t="s">
        <v>99</v>
      </c>
      <c r="C32" s="28" t="s">
        <v>100</v>
      </c>
    </row>
    <row r="33" customFormat="false" ht="21.75" hidden="false" customHeight="true" outlineLevel="0" collapsed="false"/>
    <row r="34" customFormat="false" ht="25.5" hidden="false" customHeight="true" outlineLevel="0" collapsed="false">
      <c r="B34" s="18" t="s">
        <v>101</v>
      </c>
      <c r="C34" s="18"/>
    </row>
    <row r="35" customFormat="false" ht="21.75" hidden="false" customHeight="true" outlineLevel="0" collapsed="false">
      <c r="B35" s="21" t="s">
        <v>102</v>
      </c>
      <c r="C35" s="22" t="s">
        <v>103</v>
      </c>
    </row>
    <row r="36" customFormat="false" ht="21.75" hidden="false" customHeight="true" outlineLevel="0" collapsed="false">
      <c r="B36" s="21" t="s">
        <v>104</v>
      </c>
      <c r="C36" s="22" t="s">
        <v>105</v>
      </c>
    </row>
    <row r="37" customFormat="false" ht="21.75" hidden="false" customHeight="true" outlineLevel="0" collapsed="false">
      <c r="B37" s="19" t="s">
        <v>106</v>
      </c>
      <c r="C37" s="20" t="s">
        <v>107</v>
      </c>
    </row>
    <row r="38" customFormat="false" ht="21.75" hidden="false" customHeight="true" outlineLevel="0" collapsed="false">
      <c r="B38" s="19" t="s">
        <v>108</v>
      </c>
      <c r="C38" s="20" t="s">
        <v>109</v>
      </c>
    </row>
  </sheetData>
  <mergeCells count="7">
    <mergeCell ref="B1:C1"/>
    <mergeCell ref="B2:C2"/>
    <mergeCell ref="B4:C4"/>
    <mergeCell ref="B16:C16"/>
    <mergeCell ref="B24:C24"/>
    <mergeCell ref="B29:C29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2026-03-04T18:31:01Z</dcterms:created>
  <dc:creator>openpyxl</dc:creator>
  <dc:description/>
  <dc:language>en-US</dc:language>
  <cp:lastModifiedBy/>
  <dcterms:modified xsi:type="dcterms:W3CDTF">2026-03-04T18:31:01Z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